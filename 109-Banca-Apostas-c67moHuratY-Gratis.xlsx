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C:\Users\Pichau\Desktop\SpreadSheets\"/>
    </mc:Choice>
  </mc:AlternateContent>
  <xr:revisionPtr revIDLastSave="0" documentId="13_ncr:1_{E6EF1A4D-7D99-4FDE-A94F-03D88255FD1C}" xr6:coauthVersionLast="47" xr6:coauthVersionMax="47" xr10:uidLastSave="{00000000-0000-0000-0000-000000000000}"/>
  <workbookProtection workbookAlgorithmName="SHA-512" workbookHashValue="j5zuPKh6BN6X4dl+zRMorrhv62GM9Ucubv9dq1M2haZ1D7Mnv/tDmMgWjsxVI10FRHyjxUWPhSsO3y323ck1ZA==" workbookSaltValue="mv6A5PS/zF5flPxj/cSrkg==" workbookSpinCount="100000" lockStructure="1"/>
  <bookViews>
    <workbookView xWindow="-120" yWindow="-120" windowWidth="29040" windowHeight="16440" xr2:uid="{00000000-000D-0000-FFFF-FFFF00000000}"/>
  </bookViews>
  <sheets>
    <sheet name="BANCA APOSTAS" sheetId="3" r:id="rId1"/>
    <sheet name="Liberar versão completa" sheetId="4" r:id="rId2"/>
  </sheets>
  <externalReferences>
    <externalReference r:id="rId3"/>
  </externalReferences>
  <definedNames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11" i="3" s="1"/>
  <c r="J12" i="3" s="1"/>
  <c r="J13" i="3" s="1"/>
  <c r="J14" i="3" s="1"/>
  <c r="J15" i="3" s="1"/>
  <c r="J16" i="3" s="1"/>
  <c r="J17" i="3" s="1"/>
  <c r="J18" i="3" s="1"/>
  <c r="J19" i="3" s="1"/>
  <c r="I10" i="3"/>
  <c r="I12" i="3"/>
  <c r="I13" i="3"/>
  <c r="I14" i="3"/>
  <c r="I15" i="3"/>
  <c r="I16" i="3"/>
  <c r="I17" i="3"/>
  <c r="I18" i="3"/>
  <c r="I19" i="3"/>
  <c r="H10" i="3"/>
  <c r="H11" i="3"/>
  <c r="I11" i="3" s="1"/>
  <c r="H12" i="3"/>
  <c r="H13" i="3"/>
  <c r="H14" i="3"/>
  <c r="H15" i="3"/>
  <c r="H16" i="3"/>
  <c r="H17" i="3"/>
  <c r="H18" i="3"/>
  <c r="H19" i="3"/>
  <c r="B16" i="3"/>
  <c r="B17" i="3"/>
  <c r="B18" i="3"/>
  <c r="B19" i="3"/>
  <c r="C16" i="3"/>
  <c r="C17" i="3"/>
  <c r="C18" i="3"/>
  <c r="C19" i="3"/>
  <c r="H2" i="3"/>
  <c r="C10" i="3"/>
  <c r="B10" i="3"/>
  <c r="C14" i="3" l="1"/>
  <c r="B14" i="3"/>
  <c r="C15" i="3"/>
  <c r="B15" i="3"/>
  <c r="C13" i="3"/>
  <c r="B13" i="3"/>
  <c r="C12" i="3"/>
  <c r="B12" i="3"/>
  <c r="B11" i="3"/>
  <c r="C11" i="3"/>
  <c r="I2" i="3"/>
  <c r="J2" i="3" l="1"/>
  <c r="A5" i="3" s="1"/>
</calcChain>
</file>

<file path=xl/sharedStrings.xml><?xml version="1.0" encoding="utf-8"?>
<sst xmlns="http://schemas.openxmlformats.org/spreadsheetml/2006/main" count="37" uniqueCount="25">
  <si>
    <t>DATA</t>
  </si>
  <si>
    <t>MÊS</t>
  </si>
  <si>
    <t>ANO</t>
  </si>
  <si>
    <t>ODD</t>
  </si>
  <si>
    <t>RESULTADO</t>
  </si>
  <si>
    <t>BANCA ATUAL</t>
  </si>
  <si>
    <t>RED</t>
  </si>
  <si>
    <t>GREEN</t>
  </si>
  <si>
    <t>EMPATE</t>
  </si>
  <si>
    <t>MEIO GREEN</t>
  </si>
  <si>
    <t>DESCRIÇÃO</t>
  </si>
  <si>
    <t>OBSERVAÇÃO</t>
  </si>
  <si>
    <t>DEVOLUÇÃO</t>
  </si>
  <si>
    <t>Futebol, 2x0</t>
  </si>
  <si>
    <t>VALOR APOSTADO</t>
  </si>
  <si>
    <t>Futebol, 1x1</t>
  </si>
  <si>
    <t>RETORNO LIQUIDO</t>
  </si>
  <si>
    <t>Futebol, 1x2</t>
  </si>
  <si>
    <t>BANCA INICIAL</t>
  </si>
  <si>
    <t>TOTAL:</t>
  </si>
  <si>
    <t>Futebol</t>
  </si>
  <si>
    <t>VALOR
APOSTADO</t>
  </si>
  <si>
    <t>RETORNO
LIQUIDO</t>
  </si>
  <si>
    <t>RETORNO
BRUTO</t>
  </si>
  <si>
    <t>BANCA
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</si>
</sst>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8" fontId="4" fillId="6" borderId="1" xfId="1" applyNumberFormat="1" applyFont="1" applyFill="1" applyBorder="1" applyAlignment="1">
      <alignment horizontal="center" vertical="center" wrapText="1"/>
    </xf>
    <xf numFmtId="8" fontId="4" fillId="6" borderId="5" xfId="1" applyNumberFormat="1" applyFont="1" applyFill="1" applyBorder="1" applyAlignment="1">
      <alignment horizontal="center" vertical="center" wrapText="1"/>
    </xf>
    <xf numFmtId="8" fontId="0" fillId="6" borderId="1" xfId="1" applyNumberFormat="1" applyFont="1" applyFill="1" applyBorder="1" applyAlignment="1">
      <alignment horizontal="center" vertical="center"/>
    </xf>
    <xf numFmtId="8" fontId="0" fillId="6" borderId="5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3">
    <dxf>
      <font>
        <b val="0"/>
        <i/>
        <color theme="1"/>
      </font>
      <fill>
        <patternFill patternType="solid">
          <bgColor theme="0" tint="-4.9989318521683403E-2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59996337778862885"/>
      </font>
      <fill>
        <patternFill>
          <bgColor rgb="FFFF0000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5" tint="-0.499984740745262"/>
      </font>
      <fill>
        <patternFill>
          <bgColor theme="7" tint="0.39994506668294322"/>
        </patternFill>
      </fill>
    </dxf>
    <dxf>
      <font>
        <color theme="5" tint="-0.499984740745262"/>
      </font>
      <fill>
        <patternFill>
          <bgColor theme="7" tint="0.39994506668294322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hyperlink" Target="https://api.whatsapp.com/send/?phone=%2B5512991476030&amp;text=Oi%21+Eu+gostaria+de+saber+mais+sobre+a+planilha+c%C3%B3digo+1+0+9&amp;type=phone_number&amp;app_absent=0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hyperlink" Target="https://api.whatsapp.com/send/?phone=%2B5512991476030&amp;text=Oi%21+Eu+gostaria+de+saber+mais+sobre+a+planilha+c%C3%B3digo+1+0+9&amp;type=phone_number&amp;app_absent=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781050</xdr:colOff>
      <xdr:row>0</xdr:row>
      <xdr:rowOff>114300</xdr:rowOff>
    </xdr:from>
    <xdr:to>
      <xdr:col>14</xdr:col>
      <xdr:colOff>76200</xdr:colOff>
      <xdr:row>7</xdr:row>
      <xdr:rowOff>114301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C49A9B-C2CF-4A37-A456-1813F9864105}"/>
            </a:ext>
          </a:extLst>
        </xdr:cNvPr>
        <xdr:cNvSpPr/>
      </xdr:nvSpPr>
      <xdr:spPr>
        <a:xfrm>
          <a:off x="11039475" y="114300"/>
          <a:ext cx="3048000" cy="1905001"/>
        </a:xfrm>
        <a:prstGeom prst="roundRect">
          <a:avLst>
            <a:gd name="adj" fmla="val 7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>
              <a:solidFill>
                <a:schemeClr val="tx1">
                  <a:lumMod val="75000"/>
                  <a:lumOff val="25000"/>
                </a:schemeClr>
              </a:solidFill>
            </a:rPr>
            <a:t>Essa é a versão grátis</a:t>
          </a:r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 da planilha.</a:t>
          </a:r>
        </a:p>
        <a:p>
          <a:pPr algn="ctr"/>
          <a:endParaRPr lang="pt-BR" sz="600" b="1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pPr algn="ctr"/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Para adquirir a </a:t>
          </a:r>
          <a:r>
            <a:rPr lang="pt-BR" sz="1400" b="1" baseline="0">
              <a:solidFill>
                <a:schemeClr val="tx1">
                  <a:lumMod val="75000"/>
                  <a:lumOff val="25000"/>
                </a:schemeClr>
              </a:solidFill>
            </a:rPr>
            <a:t>versão completa</a:t>
          </a:r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 e</a:t>
          </a:r>
        </a:p>
        <a:p>
          <a:pPr algn="ctr"/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com fórmulas</a:t>
          </a:r>
          <a:r>
            <a:rPr lang="pt-BR" sz="1400" b="1" baseline="0">
              <a:solidFill>
                <a:schemeClr val="tx1">
                  <a:lumMod val="75000"/>
                  <a:lumOff val="25000"/>
                </a:schemeClr>
              </a:solidFill>
            </a:rPr>
            <a:t>, </a:t>
          </a:r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entre em contato</a:t>
          </a:r>
        </a:p>
        <a:p>
          <a:pPr algn="ctr"/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pelo Whatsapp:</a:t>
          </a:r>
        </a:p>
        <a:p>
          <a:pPr algn="ctr"/>
          <a:endParaRPr lang="pt-BR" sz="600" b="1" baseline="0">
            <a:solidFill>
              <a:schemeClr val="tx1">
                <a:lumMod val="75000"/>
                <a:lumOff val="25000"/>
              </a:schemeClr>
            </a:solidFill>
          </a:endParaRPr>
        </a:p>
        <a:p>
          <a:pPr algn="ctr"/>
          <a:r>
            <a:rPr lang="pt-BR" sz="2000" b="1" baseline="0">
              <a:solidFill>
                <a:schemeClr val="tx1">
                  <a:lumMod val="75000"/>
                  <a:lumOff val="25000"/>
                </a:schemeClr>
              </a:solidFill>
            </a:rPr>
            <a:t>(12) 99147-6030</a:t>
          </a:r>
          <a:endParaRPr lang="pt-BR" sz="20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13</xdr:col>
      <xdr:colOff>266700</xdr:colOff>
      <xdr:row>4</xdr:row>
      <xdr:rowOff>38101</xdr:rowOff>
    </xdr:from>
    <xdr:to>
      <xdr:col>16</xdr:col>
      <xdr:colOff>266700</xdr:colOff>
      <xdr:row>7</xdr:row>
      <xdr:rowOff>228600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84A0E98-BBEC-47F8-9B94-9084A9B0C83F}"/>
            </a:ext>
          </a:extLst>
        </xdr:cNvPr>
        <xdr:cNvSpPr/>
      </xdr:nvSpPr>
      <xdr:spPr>
        <a:xfrm>
          <a:off x="13668375" y="1371601"/>
          <a:ext cx="1828800" cy="761999"/>
        </a:xfrm>
        <a:prstGeom prst="roundRect">
          <a:avLst>
            <a:gd name="adj" fmla="val 7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>
              <a:solidFill>
                <a:schemeClr val="tx1">
                  <a:lumMod val="75000"/>
                  <a:lumOff val="25000"/>
                </a:schemeClr>
              </a:solidFill>
            </a:rPr>
            <a:t>Planilha número:</a:t>
          </a:r>
        </a:p>
        <a:p>
          <a:pPr algn="ctr"/>
          <a:r>
            <a:rPr lang="pt-BR" sz="2000" b="1" i="0">
              <a:solidFill>
                <a:schemeClr val="tx1">
                  <a:lumMod val="75000"/>
                  <a:lumOff val="25000"/>
                </a:schemeClr>
              </a:solidFill>
            </a:rPr>
            <a:t>1 0 9</a:t>
          </a:r>
        </a:p>
      </xdr:txBody>
    </xdr:sp>
    <xdr:clientData/>
  </xdr:twoCellAnchor>
  <xdr:twoCellAnchor editAs="oneCell">
    <xdr:from>
      <xdr:col>1</xdr:col>
      <xdr:colOff>152400</xdr:colOff>
      <xdr:row>0</xdr:row>
      <xdr:rowOff>76200</xdr:rowOff>
    </xdr:from>
    <xdr:to>
      <xdr:col>5</xdr:col>
      <xdr:colOff>893452</xdr:colOff>
      <xdr:row>6</xdr:row>
      <xdr:rowOff>80921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1952714-7D96-7277-2042-FD1849D1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675" y="76200"/>
          <a:ext cx="4474852" cy="171922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10</xdr:col>
      <xdr:colOff>9525</xdr:colOff>
      <xdr:row>7</xdr:row>
      <xdr:rowOff>9525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37A3A67-14ED-CA78-BF8B-806782D7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952500"/>
          <a:ext cx="4381500" cy="9620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133350</xdr:rowOff>
    </xdr:from>
    <xdr:to>
      <xdr:col>5</xdr:col>
      <xdr:colOff>28575</xdr:colOff>
      <xdr:row>15</xdr:row>
      <xdr:rowOff>142875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1735A-D8F5-DCE2-A226-0816D77F5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23850"/>
          <a:ext cx="4581525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123825</xdr:rowOff>
    </xdr:from>
    <xdr:to>
      <xdr:col>5</xdr:col>
      <xdr:colOff>276225</xdr:colOff>
      <xdr:row>164</xdr:row>
      <xdr:rowOff>123825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77CDD37-C3BD-4053-A8FD-C17FAA6E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52825"/>
          <a:ext cx="4848225" cy="280035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DA799D-CA20-4843-85F6-A77056EDB145}" name="Excelentejoao" displayName="Excelentejoao" ref="A9:K19" totalsRowShown="0" headerRowDxfId="32" headerRowBorderDxfId="31" tableBorderDxfId="30" totalsRowBorderDxfId="29">
  <autoFilter ref="A9:K19" xr:uid="{38DA799D-CA20-4843-85F6-A77056EDB1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43CEBD3-2D2F-4033-B4A7-094BCD15B68B}" name="DATA" dataDxfId="28" totalsRowDxfId="27"/>
    <tableColumn id="2" xr3:uid="{DEE02A8E-C012-45B6-B7B5-62CBEFBFFA37}" name="MÊS" dataDxfId="26" totalsRowDxfId="25">
      <calculatedColumnFormula>MONTH(A10)</calculatedColumnFormula>
    </tableColumn>
    <tableColumn id="3" xr3:uid="{21C6483D-EA35-4589-AC0B-29045D84F0F4}" name="ANO" dataDxfId="24" totalsRowDxfId="23">
      <calculatedColumnFormula>YEAR(A10)</calculatedColumnFormula>
    </tableColumn>
    <tableColumn id="4" xr3:uid="{3B6A5CB6-4B79-478B-AB74-D47A6298C6CB}" name="DESCRIÇÃO" dataDxfId="22" totalsRowDxfId="21"/>
    <tableColumn id="5" xr3:uid="{C2BCCF8A-613F-45EC-9B82-AC3BF099AD0A}" name="ODD" dataDxfId="20" totalsRowDxfId="19"/>
    <tableColumn id="6" xr3:uid="{4AA91FF6-C11D-48FF-BD35-522DE5F047A0}" name="VALOR APOSTADO" dataDxfId="18" totalsRowDxfId="17" dataCellStyle="Moeda" totalsRowCellStyle="Moeda"/>
    <tableColumn id="7" xr3:uid="{0F5F3506-9420-453E-A14A-EA13C1060062}" name="RESULTADO" dataDxfId="16" totalsRowDxfId="15"/>
    <tableColumn id="8" xr3:uid="{6063D5E3-0100-416A-B1F3-10BEE6036BF1}" name="RETORNO_x000a_BRUTO" dataDxfId="14" totalsRowDxfId="13" dataCellStyle="Moeda" totalsRowCellStyle="Moeda">
      <calculatedColumnFormula>IF(G10="GREEN",F10*E10,IF(G10="RED",-F10,"Disponivel na versão paga"))</calculatedColumnFormula>
    </tableColumn>
    <tableColumn id="9" xr3:uid="{59C43F1B-9840-4381-AE28-34E0F7408C73}" name="RETORNO LIQUIDO" dataDxfId="12" totalsRowDxfId="11" dataCellStyle="Moeda" totalsRowCellStyle="Moeda">
      <calculatedColumnFormula>IFERROR(IF(H10&lt;0,H10,H10-F10),"Disponivel na versão paga")</calculatedColumnFormula>
    </tableColumn>
    <tableColumn id="10" xr3:uid="{CC7DBCFD-73A1-435F-B617-A52F335E6F0E}" name="BANCA_x000a_ATUAL" dataDxfId="10" totalsRowDxfId="9" dataCellStyle="Moeda" totalsRowCellStyle="Moeda">
      <calculatedColumnFormula>SUM(I10,J9)</calculatedColumnFormula>
    </tableColumn>
    <tableColumn id="11" xr3:uid="{713D2A4E-AF22-4EDF-A6FF-F05CC2DF3FCB}" name="OBSERVAÇÃO" dataDxfId="8" totalsRow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85EA-A092-466D-8B99-87E690D13EAA}">
  <dimension ref="A1:K19"/>
  <sheetViews>
    <sheetView showGridLines="0" tabSelected="1" zoomScaleNormal="100" workbookViewId="0">
      <pane ySplit="9" topLeftCell="A10" activePane="bottomLeft" state="frozen"/>
      <selection pane="bottomLeft" activeCell="N11" sqref="N11"/>
    </sheetView>
  </sheetViews>
  <sheetFormatPr defaultRowHeight="30" customHeight="1" x14ac:dyDescent="0.25"/>
  <cols>
    <col min="1" max="1" width="15.85546875" customWidth="1"/>
    <col min="2" max="3" width="11.42578125" customWidth="1"/>
    <col min="4" max="4" width="24" customWidth="1"/>
    <col min="6" max="6" width="16.42578125" customWidth="1"/>
    <col min="7" max="7" width="16.28515625" customWidth="1"/>
    <col min="8" max="10" width="16.42578125" customWidth="1"/>
    <col min="11" max="11" width="28.85546875" customWidth="1"/>
  </cols>
  <sheetData>
    <row r="1" spans="1:11" ht="30" customHeight="1" x14ac:dyDescent="0.25">
      <c r="A1" s="13" t="s">
        <v>18</v>
      </c>
      <c r="G1" s="23" t="s">
        <v>19</v>
      </c>
      <c r="H1" s="13" t="s">
        <v>21</v>
      </c>
      <c r="I1" s="13" t="s">
        <v>23</v>
      </c>
      <c r="J1" s="13" t="s">
        <v>22</v>
      </c>
    </row>
    <row r="2" spans="1:11" ht="30" customHeight="1" x14ac:dyDescent="0.25">
      <c r="A2" s="15">
        <v>1000</v>
      </c>
      <c r="G2" s="23"/>
      <c r="H2" s="15">
        <f>SUBTOTAL(9,Excelentejoao[VALOR APOSTADO])</f>
        <v>1000</v>
      </c>
      <c r="I2" s="15">
        <f>SUBTOTAL(9,Excelentejoao[RETORNO
BRUTO])</f>
        <v>754</v>
      </c>
      <c r="J2" s="15">
        <f>SUBTOTAL(9,Excelentejoao[RETORNO LIQUIDO])</f>
        <v>354</v>
      </c>
    </row>
    <row r="3" spans="1:11" ht="15" customHeight="1" x14ac:dyDescent="0.25">
      <c r="A3" s="14"/>
    </row>
    <row r="4" spans="1:11" ht="30" customHeight="1" x14ac:dyDescent="0.25">
      <c r="A4" s="13" t="s">
        <v>5</v>
      </c>
    </row>
    <row r="5" spans="1:11" ht="15" customHeight="1" x14ac:dyDescent="0.25">
      <c r="A5" s="24">
        <f>A2+J2</f>
        <v>1354</v>
      </c>
    </row>
    <row r="6" spans="1:11" ht="15" customHeight="1" x14ac:dyDescent="0.25">
      <c r="A6" s="24"/>
    </row>
    <row r="7" spans="1:11" ht="15" customHeight="1" x14ac:dyDescent="0.25"/>
    <row r="9" spans="1:11" ht="30" customHeight="1" x14ac:dyDescent="0.25">
      <c r="A9" s="5" t="s">
        <v>0</v>
      </c>
      <c r="B9" s="18" t="s">
        <v>1</v>
      </c>
      <c r="C9" s="18" t="s">
        <v>2</v>
      </c>
      <c r="D9" s="6" t="s">
        <v>10</v>
      </c>
      <c r="E9" s="6" t="s">
        <v>3</v>
      </c>
      <c r="F9" s="6" t="s">
        <v>14</v>
      </c>
      <c r="G9" s="6" t="s">
        <v>4</v>
      </c>
      <c r="H9" s="18" t="s">
        <v>23</v>
      </c>
      <c r="I9" s="18" t="s">
        <v>16</v>
      </c>
      <c r="J9" s="18" t="s">
        <v>24</v>
      </c>
      <c r="K9" s="7" t="s">
        <v>11</v>
      </c>
    </row>
    <row r="10" spans="1:11" ht="30" customHeight="1" x14ac:dyDescent="0.25">
      <c r="A10" s="1">
        <v>45658</v>
      </c>
      <c r="B10" s="16">
        <f>MONTH(A10)</f>
        <v>1</v>
      </c>
      <c r="C10" s="16">
        <f>YEAR(A10)</f>
        <v>2025</v>
      </c>
      <c r="D10" s="2" t="s">
        <v>13</v>
      </c>
      <c r="E10" s="11">
        <v>2.59</v>
      </c>
      <c r="F10" s="3">
        <v>100</v>
      </c>
      <c r="G10" s="2" t="s">
        <v>7</v>
      </c>
      <c r="H10" s="19">
        <f t="shared" ref="H10:H19" si="0">IF(G10="GREEN",F10*E10,IF(G10="RED",-F10,"Disponivel na versão paga"))</f>
        <v>259</v>
      </c>
      <c r="I10" s="19">
        <f t="shared" ref="I10:I19" si="1">IFERROR(IF(H10&lt;0,H10,H10-F10),"Disponivel na versão paga")</f>
        <v>159</v>
      </c>
      <c r="J10" s="21">
        <f t="shared" ref="J10:J19" si="2">SUM(I10,J9)</f>
        <v>159</v>
      </c>
      <c r="K10" s="4"/>
    </row>
    <row r="11" spans="1:11" ht="30" customHeight="1" x14ac:dyDescent="0.25">
      <c r="A11" s="1">
        <v>45665</v>
      </c>
      <c r="B11" s="16">
        <f>MONTH(A11)</f>
        <v>1</v>
      </c>
      <c r="C11" s="16">
        <f>YEAR(A11)</f>
        <v>2025</v>
      </c>
      <c r="D11" s="2" t="s">
        <v>15</v>
      </c>
      <c r="E11" s="11">
        <v>1.46</v>
      </c>
      <c r="F11" s="3">
        <v>100</v>
      </c>
      <c r="G11" s="2" t="s">
        <v>9</v>
      </c>
      <c r="H11" s="19" t="str">
        <f t="shared" si="0"/>
        <v>Disponivel na versão paga</v>
      </c>
      <c r="I11" s="19" t="str">
        <f t="shared" si="1"/>
        <v>Disponivel na versão paga</v>
      </c>
      <c r="J11" s="21">
        <f t="shared" si="2"/>
        <v>159</v>
      </c>
      <c r="K11" s="4"/>
    </row>
    <row r="12" spans="1:11" ht="30" customHeight="1" x14ac:dyDescent="0.25">
      <c r="A12" s="1">
        <v>45672</v>
      </c>
      <c r="B12" s="16">
        <f t="shared" ref="B12:B15" si="3">MONTH(A12)</f>
        <v>1</v>
      </c>
      <c r="C12" s="16">
        <f t="shared" ref="C12:C15" si="4">YEAR(A12)</f>
        <v>2025</v>
      </c>
      <c r="D12" s="2" t="s">
        <v>17</v>
      </c>
      <c r="E12" s="11">
        <v>2.64</v>
      </c>
      <c r="F12" s="3">
        <v>100</v>
      </c>
      <c r="G12" s="2" t="s">
        <v>6</v>
      </c>
      <c r="H12" s="19">
        <f t="shared" si="0"/>
        <v>-100</v>
      </c>
      <c r="I12" s="19">
        <f t="shared" si="1"/>
        <v>-100</v>
      </c>
      <c r="J12" s="21">
        <f t="shared" si="2"/>
        <v>59</v>
      </c>
      <c r="K12" s="4"/>
    </row>
    <row r="13" spans="1:11" ht="30" customHeight="1" x14ac:dyDescent="0.25">
      <c r="A13" s="1">
        <v>45679</v>
      </c>
      <c r="B13" s="16">
        <f t="shared" si="3"/>
        <v>1</v>
      </c>
      <c r="C13" s="16">
        <f t="shared" si="4"/>
        <v>2025</v>
      </c>
      <c r="D13" s="2" t="s">
        <v>20</v>
      </c>
      <c r="E13" s="11">
        <v>2.5099999999999998</v>
      </c>
      <c r="F13" s="3">
        <v>100</v>
      </c>
      <c r="G13" s="8" t="s">
        <v>12</v>
      </c>
      <c r="H13" s="19" t="str">
        <f t="shared" si="0"/>
        <v>Disponivel na versão paga</v>
      </c>
      <c r="I13" s="19" t="str">
        <f t="shared" si="1"/>
        <v>Disponivel na versão paga</v>
      </c>
      <c r="J13" s="21">
        <f t="shared" si="2"/>
        <v>59</v>
      </c>
      <c r="K13" s="4"/>
    </row>
    <row r="14" spans="1:11" ht="30" customHeight="1" x14ac:dyDescent="0.25">
      <c r="A14" s="1">
        <v>45686</v>
      </c>
      <c r="B14" s="16">
        <f t="shared" si="3"/>
        <v>1</v>
      </c>
      <c r="C14" s="16">
        <f t="shared" si="4"/>
        <v>2025</v>
      </c>
      <c r="D14" s="2" t="s">
        <v>20</v>
      </c>
      <c r="E14" s="11">
        <v>3.26</v>
      </c>
      <c r="F14" s="3">
        <v>100</v>
      </c>
      <c r="G14" s="8" t="s">
        <v>8</v>
      </c>
      <c r="H14" s="19" t="str">
        <f t="shared" si="0"/>
        <v>Disponivel na versão paga</v>
      </c>
      <c r="I14" s="19" t="str">
        <f t="shared" si="1"/>
        <v>Disponivel na versão paga</v>
      </c>
      <c r="J14" s="21">
        <f t="shared" si="2"/>
        <v>59</v>
      </c>
      <c r="K14" s="4"/>
    </row>
    <row r="15" spans="1:11" ht="30" customHeight="1" x14ac:dyDescent="0.25">
      <c r="A15" s="1">
        <v>45693</v>
      </c>
      <c r="B15" s="17">
        <f t="shared" si="3"/>
        <v>2</v>
      </c>
      <c r="C15" s="17">
        <f t="shared" si="4"/>
        <v>2025</v>
      </c>
      <c r="D15" s="2" t="s">
        <v>20</v>
      </c>
      <c r="E15" s="12">
        <v>2.96</v>
      </c>
      <c r="F15" s="9">
        <v>100</v>
      </c>
      <c r="G15" s="8" t="s">
        <v>8</v>
      </c>
      <c r="H15" s="20" t="str">
        <f t="shared" si="0"/>
        <v>Disponivel na versão paga</v>
      </c>
      <c r="I15" s="20" t="str">
        <f t="shared" si="1"/>
        <v>Disponivel na versão paga</v>
      </c>
      <c r="J15" s="22">
        <f t="shared" si="2"/>
        <v>59</v>
      </c>
      <c r="K15" s="10"/>
    </row>
    <row r="16" spans="1:11" ht="30" customHeight="1" x14ac:dyDescent="0.25">
      <c r="A16" s="1">
        <v>45700</v>
      </c>
      <c r="B16" s="16">
        <f t="shared" ref="B16:B19" si="5">MONTH(A16)</f>
        <v>2</v>
      </c>
      <c r="C16" s="16">
        <f t="shared" ref="C16:C19" si="6">YEAR(A16)</f>
        <v>2025</v>
      </c>
      <c r="D16" s="2" t="s">
        <v>20</v>
      </c>
      <c r="E16" s="12">
        <v>1.94</v>
      </c>
      <c r="F16" s="9">
        <v>100</v>
      </c>
      <c r="G16" s="2" t="s">
        <v>7</v>
      </c>
      <c r="H16" s="19">
        <f t="shared" si="0"/>
        <v>194</v>
      </c>
      <c r="I16" s="19">
        <f t="shared" si="1"/>
        <v>94</v>
      </c>
      <c r="J16" s="21">
        <f t="shared" si="2"/>
        <v>153</v>
      </c>
      <c r="K16" s="4"/>
    </row>
    <row r="17" spans="1:11" ht="30" customHeight="1" x14ac:dyDescent="0.25">
      <c r="A17" s="1">
        <v>45707</v>
      </c>
      <c r="B17" s="16">
        <f t="shared" si="5"/>
        <v>2</v>
      </c>
      <c r="C17" s="16">
        <f t="shared" si="6"/>
        <v>2025</v>
      </c>
      <c r="D17" s="2" t="s">
        <v>20</v>
      </c>
      <c r="E17" s="12">
        <v>1.65</v>
      </c>
      <c r="F17" s="9">
        <v>100</v>
      </c>
      <c r="G17" s="2" t="s">
        <v>7</v>
      </c>
      <c r="H17" s="19">
        <f t="shared" si="0"/>
        <v>165</v>
      </c>
      <c r="I17" s="19">
        <f t="shared" si="1"/>
        <v>65</v>
      </c>
      <c r="J17" s="21">
        <f t="shared" si="2"/>
        <v>218</v>
      </c>
      <c r="K17" s="4"/>
    </row>
    <row r="18" spans="1:11" ht="30" customHeight="1" x14ac:dyDescent="0.25">
      <c r="A18" s="1">
        <v>45714</v>
      </c>
      <c r="B18" s="16">
        <f t="shared" si="5"/>
        <v>2</v>
      </c>
      <c r="C18" s="16">
        <f t="shared" si="6"/>
        <v>2025</v>
      </c>
      <c r="D18" s="2" t="s">
        <v>20</v>
      </c>
      <c r="E18" s="12">
        <v>2.36</v>
      </c>
      <c r="F18" s="9">
        <v>100</v>
      </c>
      <c r="G18" s="2" t="s">
        <v>7</v>
      </c>
      <c r="H18" s="19">
        <f t="shared" si="0"/>
        <v>236</v>
      </c>
      <c r="I18" s="19">
        <f t="shared" si="1"/>
        <v>136</v>
      </c>
      <c r="J18" s="21">
        <f t="shared" si="2"/>
        <v>354</v>
      </c>
      <c r="K18" s="4"/>
    </row>
    <row r="19" spans="1:11" ht="30" customHeight="1" x14ac:dyDescent="0.25">
      <c r="A19" s="1">
        <v>45721</v>
      </c>
      <c r="B19" s="16">
        <f t="shared" si="5"/>
        <v>3</v>
      </c>
      <c r="C19" s="16">
        <f t="shared" si="6"/>
        <v>2025</v>
      </c>
      <c r="D19" s="2" t="s">
        <v>20</v>
      </c>
      <c r="E19" s="12">
        <v>1.91</v>
      </c>
      <c r="F19" s="9">
        <v>100</v>
      </c>
      <c r="G19" s="2" t="s">
        <v>9</v>
      </c>
      <c r="H19" s="19" t="str">
        <f t="shared" si="0"/>
        <v>Disponivel na versão paga</v>
      </c>
      <c r="I19" s="19" t="str">
        <f t="shared" si="1"/>
        <v>Disponivel na versão paga</v>
      </c>
      <c r="J19" s="21">
        <f t="shared" si="2"/>
        <v>354</v>
      </c>
      <c r="K19" s="4"/>
    </row>
  </sheetData>
  <mergeCells count="2">
    <mergeCell ref="G1:G2"/>
    <mergeCell ref="A5:A6"/>
  </mergeCells>
  <phoneticPr fontId="3" type="noConversion"/>
  <conditionalFormatting sqref="G10:G19">
    <cfRule type="cellIs" dxfId="6" priority="38" operator="equal">
      <formula>"DEVOLUÇÃO"</formula>
    </cfRule>
    <cfRule type="cellIs" dxfId="5" priority="39" operator="equal">
      <formula>"EMPATE"</formula>
    </cfRule>
    <cfRule type="cellIs" dxfId="4" priority="41" operator="equal">
      <formula>"MEIO RED"</formula>
    </cfRule>
    <cfRule type="cellIs" dxfId="3" priority="42" operator="equal">
      <formula>"RED"</formula>
    </cfRule>
    <cfRule type="cellIs" dxfId="2" priority="43" operator="equal">
      <formula>"MEIO GREEN"</formula>
    </cfRule>
    <cfRule type="cellIs" dxfId="1" priority="44" operator="equal">
      <formula>"GREEN"</formula>
    </cfRule>
  </conditionalFormatting>
  <conditionalFormatting sqref="H10:I19">
    <cfRule type="cellIs" dxfId="0" priority="1" operator="equal">
      <formula>"Disponivel na versão paga"</formula>
    </cfRule>
  </conditionalFormatting>
  <dataValidations count="1">
    <dataValidation type="list" allowBlank="1" showInputMessage="1" showErrorMessage="1" sqref="G10:G19" xr:uid="{473FDA9A-4F39-4CD8-9237-08E070FBCC03}">
      <formula1>"GREEN,MEIO GREEN,RED,MEIO RED,EMPATE,DEVOLUÇÃO"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231E-0E9E-4D7C-93C0-D2F8B4834980}">
  <sheetPr>
    <tabColor rgb="FFD0008B"/>
  </sheetPr>
  <dimension ref="A6"/>
  <sheetViews>
    <sheetView showGridLines="0" zoomScaleNormal="100" workbookViewId="0">
      <selection activeCell="H8" sqref="H8"/>
    </sheetView>
  </sheetViews>
  <sheetFormatPr defaultRowHeight="15" x14ac:dyDescent="0.25"/>
  <cols>
    <col min="2" max="2" width="34" customWidth="1"/>
    <col min="3" max="4" width="12.7109375" customWidth="1"/>
  </cols>
  <sheetData>
    <row r="6" ht="30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BANCA APOSTAS</vt:lpstr>
      <vt:lpstr>Liberar versão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JP ㅤ</cp:lastModifiedBy>
  <dcterms:created xsi:type="dcterms:W3CDTF">2015-06-05T18:17:20Z</dcterms:created>
  <dcterms:modified xsi:type="dcterms:W3CDTF">2025-10-31T12:03:48Z</dcterms:modified>
</cp:coreProperties>
</file>